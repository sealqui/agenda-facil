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ergioalsinaquimbayo/Library/Mobile Documents/com~apple~CloudDocs/Desarrollo de Software/4/Ingenieria de Software/"/>
    </mc:Choice>
  </mc:AlternateContent>
  <xr:revisionPtr revIDLastSave="0" documentId="13_ncr:1_{BAB702F6-18CA-5A47-94B2-C586022AA6E0}" xr6:coauthVersionLast="47" xr6:coauthVersionMax="47" xr10:uidLastSave="{00000000-0000-0000-0000-000000000000}"/>
  <bookViews>
    <workbookView xWindow="0" yWindow="660" windowWidth="28000" windowHeight="17080" tabRatio="500" xr2:uid="{00000000-000D-0000-FFFF-FFFF00000000}"/>
  </bookViews>
  <sheets>
    <sheet name="Cronograma (Gantt)" sheetId="1" r:id="rId1"/>
    <sheet name="Sprint Back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2" l="1"/>
  <c r="E13" i="1"/>
  <c r="E12" i="1"/>
  <c r="E11" i="1"/>
  <c r="E10" i="1"/>
  <c r="E9" i="1"/>
  <c r="E8" i="1"/>
  <c r="E7" i="1"/>
  <c r="Q6" i="1"/>
  <c r="P6" i="1"/>
  <c r="O6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<sst xmlns="http://schemas.openxmlformats.org/spreadsheetml/2006/main" count="173" uniqueCount="79">
  <si>
    <t>Agenda Fácil — Cronograma de Sprints (Scrum)</t>
  </si>
  <si>
    <t>Proyecto: Sistema de citas odontológicas (analogía: la agenda de la peluquería del barrio)</t>
  </si>
  <si>
    <t>Fecha de inicio del proyecto:</t>
  </si>
  <si>
    <t>Sprint</t>
  </si>
  <si>
    <t>Objetivo / Entregable</t>
  </si>
  <si>
    <t>Semana inicio</t>
  </si>
  <si>
    <t>Duración (sem.)</t>
  </si>
  <si>
    <t>Semana 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</si>
  <si>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</si>
  <si>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</si>
  <si>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</si>
  <si>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</si>
  <si>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</si>
  <si>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</si>
  <si>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</si>
  <si>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</si>
  <si>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</si>
  <si>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</si>
  <si>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</si>
  <si>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</si>
  <si>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Sprint 0</t>
  </si>
  <si>
    <t>Planeación: historias de usuario, wireframes en Figma, repos y tablero Trello</t>
  </si>
  <si>
    <t>Sprint 1</t>
  </si>
  <si>
    <t>Módulo de agenda y calendario (crear, reprogramar, cancelar citas)</t>
  </si>
  <si>
    <t>Sprint 2</t>
  </si>
  <si>
    <t>Módulo de pacientes: registro, login e historial de citas</t>
  </si>
  <si>
    <t>Sprint 3</t>
  </si>
  <si>
    <t>Notificaciones y recordatorios automáticos (SMS/WhatsApp)</t>
  </si>
  <si>
    <t>Sprint 4</t>
  </si>
  <si>
    <t>Panel administrativo: ocupación, cancelaciones y reportes</t>
  </si>
  <si>
    <t>Sprint 5</t>
  </si>
  <si>
    <t>Calidad: pruebas funcionales, no funcionales y ajustes (ISO 9126)</t>
  </si>
  <si>
    <t>Sprint 6</t>
  </si>
  <si>
    <t>Despliegue, capacitación al consultorio y soporte post-entrega</t>
  </si>
  <si>
    <t>Leyenda:</t>
  </si>
  <si>
    <t>Celdas amarillas = editables (fecha de inicio, semana de inicio, duración).</t>
  </si>
  <si>
    <t>Cada color de fila = un Sprint distinto en la barra Gantt.</t>
  </si>
  <si>
    <t>1 Sprint = 2 semanas (excepto Sprint 0 y Sprint 6, de 1 semana).</t>
  </si>
  <si>
    <t>Agenda Fácil — Sprint Backlog</t>
  </si>
  <si>
    <t>Tarea / Historia de usuario</t>
  </si>
  <si>
    <t>Rol responsable*</t>
  </si>
  <si>
    <t>Prioridad</t>
  </si>
  <si>
    <t>Estado</t>
  </si>
  <si>
    <t>Estimación (h)</t>
  </si>
  <si>
    <t>Columna en Trello</t>
  </si>
  <si>
    <t>Definir historias de usuario y alcance con el consultorio (cliente)</t>
  </si>
  <si>
    <t>Product Owner</t>
  </si>
  <si>
    <t>Alta</t>
  </si>
  <si>
    <t>Hecho</t>
  </si>
  <si>
    <t>Diseñar wireframes de la app en Figma</t>
  </si>
  <si>
    <t>Dev / UX</t>
  </si>
  <si>
    <t>Configurar repositorio en GitHub y tablero en Trello</t>
  </si>
  <si>
    <t>Scrum Master</t>
  </si>
  <si>
    <t>Media</t>
  </si>
  <si>
    <t>Modelar la base de datos de citas y horarios</t>
  </si>
  <si>
    <t>Dev</t>
  </si>
  <si>
    <t>Por hacer</t>
  </si>
  <si>
    <t>Backlog</t>
  </si>
  <si>
    <t>Implementar crear / reprogramar / cancelar citas (CRUD)</t>
  </si>
  <si>
    <t>Diseñar la vista de calendario para el odontólogo</t>
  </si>
  <si>
    <t>Registro y login de pacientes</t>
  </si>
  <si>
    <t>Perfil del paciente con historial de citas</t>
  </si>
  <si>
    <t>Gestión de horarios por odontólogo (multi-agenda)</t>
  </si>
  <si>
    <t>Integrar API de WhatsApp/SMS para recordatorios</t>
  </si>
  <si>
    <t>Configurar reglas de recordatorio (24 h antes de la cita)</t>
  </si>
  <si>
    <t>Probar envíos y manejo de fallos de la API</t>
  </si>
  <si>
    <t>QA</t>
  </si>
  <si>
    <t>Dashboard de ocupación y citas del día</t>
  </si>
  <si>
    <t>Reporte de cancelaciones y ausencias (no-shows)</t>
  </si>
  <si>
    <t>Exportar reportes básicos en PDF/Excel</t>
  </si>
  <si>
    <t>Baja</t>
  </si>
  <si>
    <t>Elaborar plan de pruebas funcionales y no funcionales</t>
  </si>
  <si>
    <t>Pruebas de aceptación con un consultorio piloto</t>
  </si>
  <si>
    <t>Ajustes según métricas de calidad (ISO 9126)</t>
  </si>
  <si>
    <t>Migrar datos y desplegar en producción</t>
  </si>
  <si>
    <t>Capacitar a la recepcionista y a los odontólogos</t>
  </si>
  <si>
    <t>Product Owner / Scrum Master</t>
  </si>
  <si>
    <t>Documentar manual de usuario y soporte</t>
  </si>
  <si>
    <t>Total horas estimadas: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</si>
</sst>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5B4C"/>
        <bgColor rgb="FF595959"/>
      </patternFill>
    </fill>
    <fill>
      <patternFill patternType="solid">
        <fgColor rgb="FFFFF2CC"/>
        <bgColor rgb="FFEAF1EE"/>
      </patternFill>
    </fill>
    <fill>
      <patternFill patternType="solid">
        <fgColor rgb="FF3F7D5C"/>
        <bgColor rgb="FF2E5B4C"/>
      </patternFill>
    </fill>
    <fill>
      <patternFill patternType="solid">
        <fgColor rgb="FFEAF1EE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164" fontId="4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165" fontId="7" fillId="5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9E480E"/>
        </patternFill>
      </fill>
    </dxf>
    <dxf>
      <fill>
        <patternFill>
          <bgColor rgb="FFA5A5A5"/>
        </patternFill>
      </fill>
    </dxf>
    <dxf>
      <fill>
        <patternFill>
          <bgColor rgb="FF5B9BD5"/>
        </patternFill>
      </fill>
    </dxf>
    <dxf>
      <fill>
        <patternFill>
          <bgColor rgb="FFFFC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A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472C4"/>
      <rgbColor rgb="FF33CCCC"/>
      <rgbColor rgb="FF70AD47"/>
      <rgbColor rgb="FFFFC000"/>
      <rgbColor rgb="FFFF9900"/>
      <rgbColor rgb="FFED7D31"/>
      <rgbColor rgb="FF595959"/>
      <rgbColor rgb="FFA5A5A5"/>
      <rgbColor rgb="FF003366"/>
      <rgbColor rgb="FF3F7D5C"/>
      <rgbColor rgb="FF003300"/>
      <rgbColor rgb="FF333300"/>
      <rgbColor rgb="FF9E480E"/>
      <rgbColor rgb="FF993366"/>
      <rgbColor rgb="FF333399"/>
      <rgbColor rgb="FF2E5B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zoomScale="117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17" sqref="J17"/>
    </sheetView>
  </sheetViews>
  <sheetFormatPr baseColWidth="10" defaultColWidth="8.6640625" defaultRowHeight="15" x14ac:dyDescent="0.2"/>
  <cols>
    <col min="1" max="1" width="11" customWidth="1"/>
    <col min="2" max="2" width="46" customWidth="1"/>
    <col min="3" max="3" width="10" customWidth="1"/>
    <col min="4" max="4" width="11" customWidth="1"/>
    <col min="5" max="5" width="10" customWidth="1"/>
    <col min="6" max="17" width="7" customWidth="1"/>
  </cols>
  <sheetData>
    <row r="1" spans="1:17" ht="25.5" customHeight="1" x14ac:dyDescent="0.2">
      <c r="A1" s="4" t="s">
        <v>0</v>
      </c>
      <c r="B1" s="4"/>
      <c r="C1" s="4"/>
      <c r="D1" s="4"/>
      <c r="E1" s="4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7" x14ac:dyDescent="0.2">
      <c r="A3" s="5" t="s">
        <v>2</v>
      </c>
      <c r="B3" s="2">
        <v>46272</v>
      </c>
      <c r="C3" s="2"/>
      <c r="D3" s="6"/>
    </row>
    <row r="5" spans="1:17" ht="28" x14ac:dyDescent="0.2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</row>
    <row r="6" spans="1:17" x14ac:dyDescent="0.2">
      <c r="A6" s="9"/>
      <c r="B6" s="9"/>
      <c r="C6" s="9"/>
      <c r="D6" s="9"/>
      <c r="E6" s="9"/>
      <c r="F6" s="10">
        <f>$B$3+(0)*7</f>
        <v>46272</v>
      </c>
      <c r="G6" s="10">
        <f>$B$3+(1)*7</f>
        <v>46279</v>
      </c>
      <c r="H6" s="10">
        <f>$B$3+(2)*7</f>
        <v>46286</v>
      </c>
      <c r="I6" s="10">
        <f>$B$3+(3)*7</f>
        <v>46293</v>
      </c>
      <c r="J6" s="10">
        <f>$B$3+(4)*7</f>
        <v>46300</v>
      </c>
      <c r="K6" s="10">
        <f>$B$3+(5)*7</f>
        <v>46307</v>
      </c>
      <c r="L6" s="10">
        <f>$B$3+(6)*7</f>
        <v>46314</v>
      </c>
      <c r="M6" s="10">
        <f>$B$3+(7)*7</f>
        <v>46321</v>
      </c>
      <c r="N6" s="10">
        <f>$B$3+(8)*7</f>
        <v>46328</v>
      </c>
      <c r="O6" s="10">
        <f>$B$3+(9)*7</f>
        <v>46335</v>
      </c>
      <c r="P6" s="10">
        <f>$B$3+(10)*7</f>
        <v>46342</v>
      </c>
      <c r="Q6" s="10">
        <f>$B$3+(11)*7</f>
        <v>46349</v>
      </c>
    </row>
    <row r="7" spans="1:17" ht="28" x14ac:dyDescent="0.2">
      <c r="A7" s="11" t="s">
        <v>20</v>
      </c>
      <c r="B7" s="12" t="s">
        <v>21</v>
      </c>
      <c r="C7" s="13">
        <v>1</v>
      </c>
      <c r="D7" s="13">
        <v>1</v>
      </c>
      <c r="E7" s="14">
        <f t="shared" ref="E7:E13" si="0">C7+D7-1</f>
        <v>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28" x14ac:dyDescent="0.2">
      <c r="A8" s="11" t="s">
        <v>22</v>
      </c>
      <c r="B8" s="12" t="s">
        <v>23</v>
      </c>
      <c r="C8" s="13">
        <v>2</v>
      </c>
      <c r="D8" s="13">
        <v>2</v>
      </c>
      <c r="E8" s="14">
        <f t="shared" si="0"/>
        <v>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A9" s="11" t="s">
        <v>24</v>
      </c>
      <c r="B9" s="12" t="s">
        <v>25</v>
      </c>
      <c r="C9" s="13">
        <v>4</v>
      </c>
      <c r="D9" s="13">
        <v>2</v>
      </c>
      <c r="E9" s="14">
        <f t="shared" si="0"/>
        <v>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8" x14ac:dyDescent="0.2">
      <c r="A10" s="11" t="s">
        <v>26</v>
      </c>
      <c r="B10" s="12" t="s">
        <v>27</v>
      </c>
      <c r="C10" s="13">
        <v>6</v>
      </c>
      <c r="D10" s="13">
        <v>2</v>
      </c>
      <c r="E10" s="14">
        <f t="shared" si="0"/>
        <v>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28" x14ac:dyDescent="0.2">
      <c r="A11" s="11" t="s">
        <v>28</v>
      </c>
      <c r="B11" s="12" t="s">
        <v>29</v>
      </c>
      <c r="C11" s="13">
        <v>8</v>
      </c>
      <c r="D11" s="13">
        <v>2</v>
      </c>
      <c r="E11" s="14">
        <f t="shared" si="0"/>
        <v>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28" x14ac:dyDescent="0.2">
      <c r="A12" s="11" t="s">
        <v>30</v>
      </c>
      <c r="B12" s="12" t="s">
        <v>31</v>
      </c>
      <c r="C12" s="13">
        <v>10</v>
      </c>
      <c r="D12" s="13">
        <v>2</v>
      </c>
      <c r="E12" s="14">
        <f t="shared" si="0"/>
        <v>11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28" x14ac:dyDescent="0.2">
      <c r="A13" s="11" t="s">
        <v>32</v>
      </c>
      <c r="B13" s="12" t="s">
        <v>33</v>
      </c>
      <c r="C13" s="13">
        <v>12</v>
      </c>
      <c r="D13" s="13">
        <v>1</v>
      </c>
      <c r="E13" s="14">
        <f t="shared" si="0"/>
        <v>12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5" spans="1:17" x14ac:dyDescent="0.2">
      <c r="A15" s="5" t="s">
        <v>34</v>
      </c>
    </row>
    <row r="16" spans="1:17" x14ac:dyDescent="0.2">
      <c r="A16" s="6" t="s">
        <v>35</v>
      </c>
    </row>
    <row r="17" spans="1:1" x14ac:dyDescent="0.2">
      <c r="A17" s="6" t="s">
        <v>36</v>
      </c>
    </row>
    <row r="18" spans="1:1" x14ac:dyDescent="0.2">
      <c r="A18" s="6" t="s">
        <v>37</v>
      </c>
    </row>
  </sheetData>
  <mergeCells count="3">
    <mergeCell ref="A1:E1"/>
    <mergeCell ref="F1:Q1"/>
    <mergeCell ref="B3:C3"/>
  </mergeCells>
  <conditionalFormatting sqref="F7:Q7">
    <cfRule type="expression" dxfId="6" priority="2">
      <formula>AND(COLUMN(F7)-COLUMN($F$7)+1&gt;=$C7,COLUMN(F7)-COLUMN($F$7)+1&lt;=$E7)</formula>
    </cfRule>
  </conditionalFormatting>
  <conditionalFormatting sqref="F8:Q8">
    <cfRule type="expression" dxfId="5" priority="3">
      <formula>AND(COLUMN(F8)-COLUMN($F$7)+1&gt;=$C8,COLUMN(F8)-COLUMN($F$7)+1&lt;=$E8)</formula>
    </cfRule>
  </conditionalFormatting>
  <conditionalFormatting sqref="F9:Q9">
    <cfRule type="expression" dxfId="4" priority="4">
      <formula>AND(COLUMN(F9)-COLUMN($F$7)+1&gt;=$C9,COLUMN(F9)-COLUMN($F$7)+1&lt;=$E9)</formula>
    </cfRule>
  </conditionalFormatting>
  <conditionalFormatting sqref="F10:Q10">
    <cfRule type="expression" dxfId="3" priority="5">
      <formula>AND(COLUMN(F10)-COLUMN($F$7)+1&gt;=$C10,COLUMN(F10)-COLUMN($F$7)+1&lt;=$E10)</formula>
    </cfRule>
  </conditionalFormatting>
  <conditionalFormatting sqref="F11:Q11">
    <cfRule type="expression" dxfId="2" priority="6">
      <formula>AND(COLUMN(F11)-COLUMN($F$7)+1&gt;=$C11,COLUMN(F11)-COLUMN($F$7)+1&lt;=$E11)</formula>
    </cfRule>
  </conditionalFormatting>
  <conditionalFormatting sqref="F12:Q12">
    <cfRule type="expression" dxfId="1" priority="7">
      <formula>AND(COLUMN(F12)-COLUMN($F$7)+1&gt;=$C12,COLUMN(F12)-COLUMN($F$7)+1&lt;=$E12)</formula>
    </cfRule>
  </conditionalFormatting>
  <conditionalFormatting sqref="F13:Q13">
    <cfRule type="expression" dxfId="0" priority="8">
      <formula>AND(COLUMN(F13)-COLUMN($F$7)+1&gt;=$C13,COLUMN(F13)-COLUMN($F$7)+1&lt;=$E13)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Normal="100" workbookViewId="0">
      <pane ySplit="3" topLeftCell="A4" activePane="bottomLeft" state="frozen"/>
      <selection pane="bottomLeft" activeCell="J41" sqref="J41"/>
    </sheetView>
  </sheetViews>
  <sheetFormatPr baseColWidth="10" defaultColWidth="8.6640625" defaultRowHeight="15" x14ac:dyDescent="0.2"/>
  <cols>
    <col min="1" max="1" width="10" customWidth="1"/>
    <col min="2" max="2" width="48" customWidth="1"/>
    <col min="3" max="3" width="22" customWidth="1"/>
    <col min="4" max="4" width="10" customWidth="1"/>
    <col min="5" max="5" width="12" customWidth="1"/>
    <col min="6" max="6" width="13" customWidth="1"/>
    <col min="7" max="7" width="16" customWidth="1"/>
  </cols>
  <sheetData>
    <row r="1" spans="1:7" ht="24" customHeight="1" x14ac:dyDescent="0.2">
      <c r="A1" s="4" t="s">
        <v>38</v>
      </c>
      <c r="B1" s="4"/>
      <c r="C1" s="4"/>
      <c r="D1" s="4"/>
      <c r="E1" s="4"/>
      <c r="F1" s="4"/>
      <c r="G1" s="4"/>
    </row>
    <row r="3" spans="1:7" x14ac:dyDescent="0.2">
      <c r="A3" s="7" t="s">
        <v>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</row>
    <row r="4" spans="1:7" ht="28" x14ac:dyDescent="0.2">
      <c r="A4" s="16" t="s">
        <v>20</v>
      </c>
      <c r="B4" s="12" t="s">
        <v>45</v>
      </c>
      <c r="C4" s="16" t="s">
        <v>46</v>
      </c>
      <c r="D4" s="17" t="s">
        <v>47</v>
      </c>
      <c r="E4" s="18" t="s">
        <v>48</v>
      </c>
      <c r="F4" s="14">
        <v>8</v>
      </c>
      <c r="G4" s="14" t="s">
        <v>48</v>
      </c>
    </row>
    <row r="5" spans="1:7" x14ac:dyDescent="0.2">
      <c r="A5" s="16" t="s">
        <v>20</v>
      </c>
      <c r="B5" s="12" t="s">
        <v>49</v>
      </c>
      <c r="C5" s="16" t="s">
        <v>50</v>
      </c>
      <c r="D5" s="17" t="s">
        <v>47</v>
      </c>
      <c r="E5" s="18" t="s">
        <v>48</v>
      </c>
      <c r="F5" s="14">
        <v>10</v>
      </c>
      <c r="G5" s="14" t="s">
        <v>48</v>
      </c>
    </row>
    <row r="6" spans="1:7" x14ac:dyDescent="0.2">
      <c r="A6" s="16" t="s">
        <v>20</v>
      </c>
      <c r="B6" s="12" t="s">
        <v>51</v>
      </c>
      <c r="C6" s="16" t="s">
        <v>52</v>
      </c>
      <c r="D6" s="19" t="s">
        <v>53</v>
      </c>
      <c r="E6" s="18" t="s">
        <v>48</v>
      </c>
      <c r="F6" s="14">
        <v>4</v>
      </c>
      <c r="G6" s="14" t="s">
        <v>48</v>
      </c>
    </row>
    <row r="7" spans="1:7" x14ac:dyDescent="0.2">
      <c r="A7" s="16" t="s">
        <v>22</v>
      </c>
      <c r="B7" s="12" t="s">
        <v>54</v>
      </c>
      <c r="C7" s="16" t="s">
        <v>55</v>
      </c>
      <c r="D7" s="17" t="s">
        <v>47</v>
      </c>
      <c r="E7" s="20" t="s">
        <v>56</v>
      </c>
      <c r="F7" s="14">
        <v>12</v>
      </c>
      <c r="G7" s="14" t="s">
        <v>57</v>
      </c>
    </row>
    <row r="8" spans="1:7" x14ac:dyDescent="0.2">
      <c r="A8" s="16" t="s">
        <v>22</v>
      </c>
      <c r="B8" s="12" t="s">
        <v>58</v>
      </c>
      <c r="C8" s="16" t="s">
        <v>55</v>
      </c>
      <c r="D8" s="17" t="s">
        <v>47</v>
      </c>
      <c r="E8" s="20" t="s">
        <v>56</v>
      </c>
      <c r="F8" s="14">
        <v>16</v>
      </c>
      <c r="G8" s="14" t="s">
        <v>57</v>
      </c>
    </row>
    <row r="9" spans="1:7" x14ac:dyDescent="0.2">
      <c r="A9" s="16" t="s">
        <v>22</v>
      </c>
      <c r="B9" s="12" t="s">
        <v>59</v>
      </c>
      <c r="C9" s="16" t="s">
        <v>50</v>
      </c>
      <c r="D9" s="19" t="s">
        <v>53</v>
      </c>
      <c r="E9" s="20" t="s">
        <v>56</v>
      </c>
      <c r="F9" s="14">
        <v>10</v>
      </c>
      <c r="G9" s="14" t="s">
        <v>57</v>
      </c>
    </row>
    <row r="10" spans="1:7" x14ac:dyDescent="0.2">
      <c r="A10" s="16" t="s">
        <v>24</v>
      </c>
      <c r="B10" s="12" t="s">
        <v>60</v>
      </c>
      <c r="C10" s="16" t="s">
        <v>55</v>
      </c>
      <c r="D10" s="17" t="s">
        <v>47</v>
      </c>
      <c r="E10" s="20" t="s">
        <v>56</v>
      </c>
      <c r="F10" s="14">
        <v>10</v>
      </c>
      <c r="G10" s="14" t="s">
        <v>57</v>
      </c>
    </row>
    <row r="11" spans="1:7" x14ac:dyDescent="0.2">
      <c r="A11" s="16" t="s">
        <v>24</v>
      </c>
      <c r="B11" s="12" t="s">
        <v>61</v>
      </c>
      <c r="C11" s="16" t="s">
        <v>55</v>
      </c>
      <c r="D11" s="19" t="s">
        <v>53</v>
      </c>
      <c r="E11" s="20" t="s">
        <v>56</v>
      </c>
      <c r="F11" s="14">
        <v>8</v>
      </c>
      <c r="G11" s="14" t="s">
        <v>57</v>
      </c>
    </row>
    <row r="12" spans="1:7" x14ac:dyDescent="0.2">
      <c r="A12" s="16" t="s">
        <v>24</v>
      </c>
      <c r="B12" s="12" t="s">
        <v>62</v>
      </c>
      <c r="C12" s="16" t="s">
        <v>55</v>
      </c>
      <c r="D12" s="17" t="s">
        <v>47</v>
      </c>
      <c r="E12" s="20" t="s">
        <v>56</v>
      </c>
      <c r="F12" s="14">
        <v>12</v>
      </c>
      <c r="G12" s="14" t="s">
        <v>57</v>
      </c>
    </row>
    <row r="13" spans="1:7" x14ac:dyDescent="0.2">
      <c r="A13" s="16" t="s">
        <v>26</v>
      </c>
      <c r="B13" s="12" t="s">
        <v>63</v>
      </c>
      <c r="C13" s="16" t="s">
        <v>55</v>
      </c>
      <c r="D13" s="17" t="s">
        <v>47</v>
      </c>
      <c r="E13" s="20" t="s">
        <v>56</v>
      </c>
      <c r="F13" s="14">
        <v>14</v>
      </c>
      <c r="G13" s="14" t="s">
        <v>57</v>
      </c>
    </row>
    <row r="14" spans="1:7" x14ac:dyDescent="0.2">
      <c r="A14" s="16" t="s">
        <v>26</v>
      </c>
      <c r="B14" s="12" t="s">
        <v>64</v>
      </c>
      <c r="C14" s="16" t="s">
        <v>55</v>
      </c>
      <c r="D14" s="19" t="s">
        <v>53</v>
      </c>
      <c r="E14" s="20" t="s">
        <v>56</v>
      </c>
      <c r="F14" s="14">
        <v>6</v>
      </c>
      <c r="G14" s="14" t="s">
        <v>57</v>
      </c>
    </row>
    <row r="15" spans="1:7" x14ac:dyDescent="0.2">
      <c r="A15" s="16" t="s">
        <v>26</v>
      </c>
      <c r="B15" s="12" t="s">
        <v>65</v>
      </c>
      <c r="C15" s="16" t="s">
        <v>66</v>
      </c>
      <c r="D15" s="19" t="s">
        <v>53</v>
      </c>
      <c r="E15" s="20" t="s">
        <v>56</v>
      </c>
      <c r="F15" s="14">
        <v>8</v>
      </c>
      <c r="G15" s="14" t="s">
        <v>57</v>
      </c>
    </row>
    <row r="16" spans="1:7" x14ac:dyDescent="0.2">
      <c r="A16" s="16" t="s">
        <v>28</v>
      </c>
      <c r="B16" s="12" t="s">
        <v>67</v>
      </c>
      <c r="C16" s="16" t="s">
        <v>55</v>
      </c>
      <c r="D16" s="17" t="s">
        <v>47</v>
      </c>
      <c r="E16" s="20" t="s">
        <v>56</v>
      </c>
      <c r="F16" s="14">
        <v>12</v>
      </c>
      <c r="G16" s="14" t="s">
        <v>57</v>
      </c>
    </row>
    <row r="17" spans="1:7" x14ac:dyDescent="0.2">
      <c r="A17" s="16" t="s">
        <v>28</v>
      </c>
      <c r="B17" s="12" t="s">
        <v>68</v>
      </c>
      <c r="C17" s="16" t="s">
        <v>55</v>
      </c>
      <c r="D17" s="19" t="s">
        <v>53</v>
      </c>
      <c r="E17" s="20" t="s">
        <v>56</v>
      </c>
      <c r="F17" s="14">
        <v>8</v>
      </c>
      <c r="G17" s="14" t="s">
        <v>57</v>
      </c>
    </row>
    <row r="18" spans="1:7" x14ac:dyDescent="0.2">
      <c r="A18" s="16" t="s">
        <v>28</v>
      </c>
      <c r="B18" s="12" t="s">
        <v>69</v>
      </c>
      <c r="C18" s="16" t="s">
        <v>55</v>
      </c>
      <c r="D18" s="18" t="s">
        <v>70</v>
      </c>
      <c r="E18" s="20" t="s">
        <v>56</v>
      </c>
      <c r="F18" s="14">
        <v>6</v>
      </c>
      <c r="G18" s="14" t="s">
        <v>57</v>
      </c>
    </row>
    <row r="19" spans="1:7" x14ac:dyDescent="0.2">
      <c r="A19" s="16" t="s">
        <v>30</v>
      </c>
      <c r="B19" s="12" t="s">
        <v>71</v>
      </c>
      <c r="C19" s="16" t="s">
        <v>66</v>
      </c>
      <c r="D19" s="17" t="s">
        <v>47</v>
      </c>
      <c r="E19" s="20" t="s">
        <v>56</v>
      </c>
      <c r="F19" s="14">
        <v>10</v>
      </c>
      <c r="G19" s="14" t="s">
        <v>57</v>
      </c>
    </row>
    <row r="20" spans="1:7" x14ac:dyDescent="0.2">
      <c r="A20" s="16" t="s">
        <v>30</v>
      </c>
      <c r="B20" s="12" t="s">
        <v>72</v>
      </c>
      <c r="C20" s="16" t="s">
        <v>66</v>
      </c>
      <c r="D20" s="17" t="s">
        <v>47</v>
      </c>
      <c r="E20" s="20" t="s">
        <v>56</v>
      </c>
      <c r="F20" s="14">
        <v>10</v>
      </c>
      <c r="G20" s="14" t="s">
        <v>57</v>
      </c>
    </row>
    <row r="21" spans="1:7" x14ac:dyDescent="0.2">
      <c r="A21" s="16" t="s">
        <v>30</v>
      </c>
      <c r="B21" s="12" t="s">
        <v>73</v>
      </c>
      <c r="C21" s="16" t="s">
        <v>55</v>
      </c>
      <c r="D21" s="19" t="s">
        <v>53</v>
      </c>
      <c r="E21" s="20" t="s">
        <v>56</v>
      </c>
      <c r="F21" s="14">
        <v>8</v>
      </c>
      <c r="G21" s="14" t="s">
        <v>57</v>
      </c>
    </row>
    <row r="22" spans="1:7" x14ac:dyDescent="0.2">
      <c r="A22" s="16" t="s">
        <v>32</v>
      </c>
      <c r="B22" s="12" t="s">
        <v>74</v>
      </c>
      <c r="C22" s="16" t="s">
        <v>55</v>
      </c>
      <c r="D22" s="17" t="s">
        <v>47</v>
      </c>
      <c r="E22" s="20" t="s">
        <v>56</v>
      </c>
      <c r="F22" s="14">
        <v>8</v>
      </c>
      <c r="G22" s="14" t="s">
        <v>57</v>
      </c>
    </row>
    <row r="23" spans="1:7" x14ac:dyDescent="0.2">
      <c r="A23" s="16" t="s">
        <v>32</v>
      </c>
      <c r="B23" s="12" t="s">
        <v>75</v>
      </c>
      <c r="C23" s="16" t="s">
        <v>76</v>
      </c>
      <c r="D23" s="17" t="s">
        <v>47</v>
      </c>
      <c r="E23" s="20" t="s">
        <v>56</v>
      </c>
      <c r="F23" s="14">
        <v>6</v>
      </c>
      <c r="G23" s="14" t="s">
        <v>57</v>
      </c>
    </row>
    <row r="24" spans="1:7" x14ac:dyDescent="0.2">
      <c r="A24" s="16" t="s">
        <v>32</v>
      </c>
      <c r="B24" s="12" t="s">
        <v>77</v>
      </c>
      <c r="C24" s="16" t="s">
        <v>55</v>
      </c>
      <c r="D24" s="19" t="s">
        <v>53</v>
      </c>
      <c r="E24" s="20" t="s">
        <v>56</v>
      </c>
      <c r="F24" s="14">
        <v>6</v>
      </c>
      <c r="G24" s="14" t="s">
        <v>57</v>
      </c>
    </row>
    <row r="26" spans="1:7" x14ac:dyDescent="0.2">
      <c r="A26" s="1" t="s">
        <v>78</v>
      </c>
      <c r="B26" s="1"/>
      <c r="C26" s="1"/>
      <c r="D26" s="1"/>
      <c r="E26" s="1"/>
      <c r="F26" s="11">
        <f>SUM(F4:F24)</f>
        <v>192</v>
      </c>
    </row>
    <row r="28" spans="1:7" ht="27.75" customHeight="1" x14ac:dyDescent="0.2"/>
  </sheetData>
  <mergeCells count="2">
    <mergeCell ref="A1:G1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(Gantt)</vt:lpstr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2026-09-02T03:41:40Z</dcterms:created>
  <dcterms:modified xsi:type="dcterms:W3CDTF">2026-09-02T04:52:37Z</dcterms:modified>
  <dc:language>en-US</dc:language>
</cp:coreProperties>
</file>